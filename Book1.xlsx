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\Desktop\PCB Projects\MiniLatte\"/>
    </mc:Choice>
  </mc:AlternateContent>
  <xr:revisionPtr revIDLastSave="0" documentId="8_{94A98F77-5D24-4BD4-B6F8-0D358525FAA2}" xr6:coauthVersionLast="47" xr6:coauthVersionMax="47" xr10:uidLastSave="{00000000-0000-0000-0000-000000000000}"/>
  <bookViews>
    <workbookView xWindow="-38520" yWindow="-120" windowWidth="38640" windowHeight="21120" activeTab="1" xr2:uid="{2BCEBE50-9A21-4E77-B4D3-345F262EF366}"/>
  </bookViews>
  <sheets>
    <sheet name="hdmi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D8" i="1"/>
  <c r="C8" i="1"/>
  <c r="B8" i="1"/>
  <c r="B7" i="1"/>
  <c r="C7" i="1"/>
  <c r="D7" i="1"/>
  <c r="E6" i="1"/>
  <c r="D6" i="1"/>
  <c r="C6" i="1"/>
  <c r="B6" i="1"/>
  <c r="J7" i="1" l="1"/>
  <c r="J8" i="1" s="1"/>
  <c r="H7" i="1"/>
  <c r="H8" i="1" s="1"/>
  <c r="I7" i="1"/>
  <c r="I8" i="1" s="1"/>
</calcChain>
</file>

<file path=xl/sharedStrings.xml><?xml version="1.0" encoding="utf-8"?>
<sst xmlns="http://schemas.openxmlformats.org/spreadsheetml/2006/main" count="18" uniqueCount="10">
  <si>
    <t>hdmi2</t>
  </si>
  <si>
    <t>tx2</t>
  </si>
  <si>
    <t>tx1</t>
  </si>
  <si>
    <t>tx0</t>
  </si>
  <si>
    <t>clk</t>
  </si>
  <si>
    <t>d-port</t>
  </si>
  <si>
    <t>c-diode</t>
  </si>
  <si>
    <t>mu-caps</t>
  </si>
  <si>
    <t>new mu-caps</t>
  </si>
  <si>
    <t>hdmi1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</si>
</sst>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465A-2168-4A14-AC01-69CAA96A9C24}">
  <dimension ref="A1:K8"/>
  <sheetViews>
    <sheetView workbookViewId="0">
      <selection activeCell="L16" sqref="L16"/>
    </sheetView>
  </sheetViews>
  <sheetFormatPr defaultRowHeight="15" x14ac:dyDescent="0.25"/>
  <sheetData>
    <row r="1" spans="1:11" x14ac:dyDescent="0.25">
      <c r="B1" t="s">
        <v>0</v>
      </c>
      <c r="H1" t="s">
        <v>9</v>
      </c>
    </row>
    <row r="2" spans="1:11" x14ac:dyDescent="0.25">
      <c r="B2" t="s">
        <v>1</v>
      </c>
      <c r="C2" t="s">
        <v>2</v>
      </c>
      <c r="D2" t="s">
        <v>3</v>
      </c>
      <c r="E2" t="s">
        <v>4</v>
      </c>
      <c r="H2" t="s">
        <v>1</v>
      </c>
      <c r="I2" t="s">
        <v>2</v>
      </c>
      <c r="J2" t="s">
        <v>3</v>
      </c>
      <c r="K2" t="s">
        <v>4</v>
      </c>
    </row>
    <row r="3" spans="1:11" x14ac:dyDescent="0.25">
      <c r="A3" t="s">
        <v>7</v>
      </c>
      <c r="B3">
        <v>18.420000000000002</v>
      </c>
      <c r="C3">
        <v>19.11</v>
      </c>
      <c r="D3">
        <v>20.54</v>
      </c>
      <c r="E3">
        <v>21.65</v>
      </c>
      <c r="G3" t="s">
        <v>7</v>
      </c>
      <c r="H3">
        <v>24.55</v>
      </c>
      <c r="I3">
        <v>26.94</v>
      </c>
      <c r="J3">
        <v>29.65</v>
      </c>
      <c r="K3">
        <v>30.7</v>
      </c>
    </row>
    <row r="4" spans="1:11" x14ac:dyDescent="0.25">
      <c r="A4" t="s">
        <v>6</v>
      </c>
      <c r="B4">
        <v>7.06</v>
      </c>
      <c r="C4">
        <v>4.54</v>
      </c>
      <c r="D4">
        <v>4.47</v>
      </c>
      <c r="E4">
        <v>6.62</v>
      </c>
      <c r="G4" t="s">
        <v>6</v>
      </c>
      <c r="H4">
        <v>6.28</v>
      </c>
      <c r="I4">
        <v>4.34</v>
      </c>
      <c r="J4">
        <v>5</v>
      </c>
      <c r="K4">
        <v>7.55</v>
      </c>
    </row>
    <row r="5" spans="1:11" x14ac:dyDescent="0.25">
      <c r="A5" t="s">
        <v>5</v>
      </c>
      <c r="B5">
        <v>5.16</v>
      </c>
      <c r="C5">
        <v>5.16</v>
      </c>
      <c r="D5">
        <v>5.16</v>
      </c>
      <c r="E5">
        <v>5.16</v>
      </c>
      <c r="G5" t="s">
        <v>5</v>
      </c>
      <c r="H5">
        <v>5.0599999999999996</v>
      </c>
      <c r="I5">
        <v>5.0599999999999996</v>
      </c>
      <c r="J5">
        <v>5.0599999999999996</v>
      </c>
      <c r="K5">
        <v>5.0599999999999996</v>
      </c>
    </row>
    <row r="6" spans="1:11" x14ac:dyDescent="0.25">
      <c r="B6">
        <f>SUM(B3:B5)</f>
        <v>30.64</v>
      </c>
      <c r="C6">
        <f t="shared" ref="C6:E6" si="0">SUM(C3:C5)</f>
        <v>28.81</v>
      </c>
      <c r="D6">
        <f t="shared" si="0"/>
        <v>30.169999999999998</v>
      </c>
      <c r="E6">
        <f t="shared" si="0"/>
        <v>33.43</v>
      </c>
      <c r="H6">
        <f>SUM(H3:H5)</f>
        <v>35.89</v>
      </c>
      <c r="I6">
        <f t="shared" ref="I6" si="1">SUM(I3:I5)</f>
        <v>36.340000000000003</v>
      </c>
      <c r="J6">
        <f t="shared" ref="J6" si="2">SUM(J3:J5)</f>
        <v>39.71</v>
      </c>
      <c r="K6">
        <f t="shared" ref="K6" si="3">SUM(K3:K5)</f>
        <v>43.31</v>
      </c>
    </row>
    <row r="7" spans="1:11" x14ac:dyDescent="0.25">
      <c r="B7">
        <f>E6-B6</f>
        <v>2.7899999999999991</v>
      </c>
      <c r="C7">
        <f>E6-C6</f>
        <v>4.620000000000001</v>
      </c>
      <c r="D7">
        <f>E6-D6</f>
        <v>3.2600000000000016</v>
      </c>
      <c r="H7">
        <f>K6-H6</f>
        <v>7.4200000000000017</v>
      </c>
      <c r="I7">
        <f>K6-I6</f>
        <v>6.9699999999999989</v>
      </c>
      <c r="J7">
        <f>K6-J6</f>
        <v>3.6000000000000014</v>
      </c>
    </row>
    <row r="8" spans="1:11" x14ac:dyDescent="0.25">
      <c r="A8" t="s">
        <v>8</v>
      </c>
      <c r="B8">
        <f>B3+B7</f>
        <v>21.21</v>
      </c>
      <c r="C8">
        <f t="shared" ref="C8:D8" si="4">C3+C7</f>
        <v>23.73</v>
      </c>
      <c r="D8">
        <f t="shared" si="4"/>
        <v>23.8</v>
      </c>
      <c r="G8" t="s">
        <v>8</v>
      </c>
      <c r="H8">
        <f>H3+H7</f>
        <v>31.970000000000002</v>
      </c>
      <c r="I8">
        <f t="shared" ref="I8" si="5">I3+I7</f>
        <v>33.909999999999997</v>
      </c>
      <c r="J8">
        <f t="shared" ref="J8" si="6">J3+J7</f>
        <v>33.25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F11B-0D77-4805-838E-EAE70D1DAEC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hdmi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 Balan</dc:creator>
  <cp:lastModifiedBy>Cath Balan</cp:lastModifiedBy>
  <dcterms:created xsi:type="dcterms:W3CDTF">2025-12-09T10:09:17Z</dcterms:created>
  <dcterms:modified xsi:type="dcterms:W3CDTF">2025-12-09T10:30:08Z</dcterms:modified>
</cp:coreProperties>
</file>